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  <sheet xmlns:r="http://schemas.openxmlformats.org/officeDocument/2006/relationships" name="区域汇总" sheetId="2" state="visible" r:id="rId2"/>
    <sheet xmlns:r="http://schemas.openxmlformats.org/officeDocument/2006/relationships" name="月度趋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8" max="8"/>
  </cols>
  <sheetData>
    <row r="1">
      <c r="A1" s="1" t="inlineStr">
        <is>
          <t>订单号</t>
        </is>
      </c>
      <c r="B1" s="1" t="inlineStr">
        <is>
          <t>客户</t>
        </is>
      </c>
      <c r="C1" s="1" t="inlineStr">
        <is>
          <t>区域</t>
        </is>
      </c>
      <c r="D1" s="1" t="inlineStr">
        <is>
          <t>产品</t>
        </is>
      </c>
      <c r="E1" s="1" t="inlineStr">
        <is>
          <t>数量</t>
        </is>
      </c>
      <c r="F1" s="1" t="inlineStr">
        <is>
          <t>单价(元)</t>
        </is>
      </c>
      <c r="G1" s="1" t="inlineStr">
        <is>
          <t>金额(元)</t>
        </is>
      </c>
      <c r="H1" s="1" t="inlineStr">
        <is>
          <t>日期</t>
        </is>
      </c>
      <c r="I1" s="1" t="inlineStr">
        <is>
          <t>销售代表</t>
        </is>
      </c>
    </row>
    <row r="2">
      <c r="A2" t="inlineStr">
        <is>
          <t>SO202607001</t>
        </is>
      </c>
      <c r="B2" t="inlineStr">
        <is>
          <t>华信科技</t>
        </is>
      </c>
      <c r="C2" t="inlineStr">
        <is>
          <t>华东</t>
        </is>
      </c>
      <c r="D2" t="inlineStr">
        <is>
          <t>智能网关 GW-200</t>
        </is>
      </c>
      <c r="E2" t="n">
        <v>120</v>
      </c>
      <c r="F2" t="n">
        <v>860</v>
      </c>
      <c r="G2" t="n">
        <v>103200</v>
      </c>
      <c r="H2" t="inlineStr">
        <is>
          <t>2026-07-01</t>
        </is>
      </c>
      <c r="I2" t="inlineStr">
        <is>
          <t>张伟</t>
        </is>
      </c>
    </row>
    <row r="3">
      <c r="A3" t="inlineStr">
        <is>
          <t>SO202607002</t>
        </is>
      </c>
      <c r="B3" t="inlineStr">
        <is>
          <t>远景制造</t>
        </is>
      </c>
      <c r="C3" t="inlineStr">
        <is>
          <t>华南</t>
        </is>
      </c>
      <c r="D3" t="inlineStr">
        <is>
          <t>工业路由器 IR-500</t>
        </is>
      </c>
      <c r="E3" t="n">
        <v>60</v>
      </c>
      <c r="F3" t="n">
        <v>1520</v>
      </c>
      <c r="G3" t="n">
        <v>91200</v>
      </c>
      <c r="H3" t="inlineStr">
        <is>
          <t>2026-07-02</t>
        </is>
      </c>
      <c r="I3" t="inlineStr">
        <is>
          <t>李娜</t>
        </is>
      </c>
    </row>
    <row r="4">
      <c r="A4" t="inlineStr">
        <is>
          <t>SO202607003</t>
        </is>
      </c>
      <c r="B4" t="inlineStr">
        <is>
          <t>云帆物流</t>
        </is>
      </c>
      <c r="C4" t="inlineStr">
        <is>
          <t>华北</t>
        </is>
      </c>
      <c r="D4" t="inlineStr">
        <is>
          <t>定位终端 LT-100</t>
        </is>
      </c>
      <c r="E4" t="n">
        <v>300</v>
      </c>
      <c r="F4" t="n">
        <v>320</v>
      </c>
      <c r="G4" t="n">
        <v>96000</v>
      </c>
      <c r="H4" t="inlineStr">
        <is>
          <t>2026-07-03</t>
        </is>
      </c>
      <c r="I4" t="inlineStr">
        <is>
          <t>王强</t>
        </is>
      </c>
    </row>
    <row r="5">
      <c r="A5" t="inlineStr">
        <is>
          <t>SO202607004</t>
        </is>
      </c>
      <c r="B5" t="inlineStr">
        <is>
          <t>华信科技</t>
        </is>
      </c>
      <c r="C5" t="inlineStr">
        <is>
          <t>华东</t>
        </is>
      </c>
      <c r="D5" t="inlineStr">
        <is>
          <t>工业路由器 IR-500</t>
        </is>
      </c>
      <c r="E5" t="n">
        <v>80</v>
      </c>
      <c r="F5" t="n">
        <v>1520</v>
      </c>
      <c r="G5" t="n">
        <v>121600</v>
      </c>
      <c r="H5" t="inlineStr">
        <is>
          <t>2026-07-05</t>
        </is>
      </c>
      <c r="I5" t="inlineStr">
        <is>
          <t>张伟</t>
        </is>
      </c>
    </row>
    <row r="6">
      <c r="A6" t="inlineStr">
        <is>
          <t>SO202607005</t>
        </is>
      </c>
      <c r="B6" t="inlineStr">
        <is>
          <t>恒达电子</t>
        </is>
      </c>
      <c r="C6" t="inlineStr">
        <is>
          <t>西南</t>
        </is>
      </c>
      <c r="D6" t="inlineStr">
        <is>
          <t>智能网关 GW-200</t>
        </is>
      </c>
      <c r="E6" t="n">
        <v>200</v>
      </c>
      <c r="F6" t="n">
        <v>860</v>
      </c>
      <c r="G6" t="n">
        <v>172000</v>
      </c>
      <c r="H6" t="inlineStr">
        <is>
          <t>2026-07-08</t>
        </is>
      </c>
      <c r="I6" t="inlineStr">
        <is>
          <t>赵敏</t>
        </is>
      </c>
    </row>
    <row r="7">
      <c r="A7" t="inlineStr">
        <is>
          <t>SO202607006</t>
        </is>
      </c>
      <c r="B7" t="inlineStr">
        <is>
          <t>云帆物流</t>
        </is>
      </c>
      <c r="C7" t="inlineStr">
        <is>
          <t>华北</t>
        </is>
      </c>
      <c r="D7" t="inlineStr">
        <is>
          <t>智能网关 GW-200</t>
        </is>
      </c>
      <c r="E7" t="n">
        <v>150</v>
      </c>
      <c r="F7" t="n">
        <v>860</v>
      </c>
      <c r="G7" t="n">
        <v>129000</v>
      </c>
      <c r="H7" t="inlineStr">
        <is>
          <t>2026-07-10</t>
        </is>
      </c>
      <c r="I7" t="inlineStr">
        <is>
          <t>王强</t>
        </is>
      </c>
    </row>
    <row r="8">
      <c r="A8" t="inlineStr">
        <is>
          <t>SO202607007</t>
        </is>
      </c>
      <c r="B8" t="inlineStr">
        <is>
          <t>远景制造</t>
        </is>
      </c>
      <c r="C8" t="inlineStr">
        <is>
          <t>华南</t>
        </is>
      </c>
      <c r="D8" t="inlineStr">
        <is>
          <t>定位终端 LT-100</t>
        </is>
      </c>
      <c r="E8" t="n">
        <v>500</v>
      </c>
      <c r="F8" t="n">
        <v>320</v>
      </c>
      <c r="G8" t="n">
        <v>160000</v>
      </c>
      <c r="H8" t="inlineStr">
        <is>
          <t>2026-07-12</t>
        </is>
      </c>
      <c r="I8" t="inlineStr">
        <is>
          <t>李娜</t>
        </is>
      </c>
    </row>
    <row r="9">
      <c r="A9" t="inlineStr">
        <is>
          <t>SO202607008</t>
        </is>
      </c>
      <c r="B9" t="inlineStr">
        <is>
          <t>恒达电子</t>
        </is>
      </c>
      <c r="C9" t="inlineStr">
        <is>
          <t>西南</t>
        </is>
      </c>
      <c r="D9" t="inlineStr">
        <is>
          <t>工业路由器 IR-500</t>
        </is>
      </c>
      <c r="E9" t="n">
        <v>40</v>
      </c>
      <c r="F9" t="n">
        <v>1520</v>
      </c>
      <c r="G9" t="n">
        <v>60800</v>
      </c>
      <c r="H9" t="inlineStr">
        <is>
          <t>2026-07-15</t>
        </is>
      </c>
      <c r="I9" t="inlineStr">
        <is>
          <t>赵敏</t>
        </is>
      </c>
    </row>
    <row r="10">
      <c r="A10" t="inlineStr">
        <is>
          <t>合计</t>
        </is>
      </c>
      <c r="B10" t="inlineStr"/>
      <c r="C10" t="inlineStr"/>
      <c r="D10" t="inlineStr"/>
      <c r="E10" t="inlineStr"/>
      <c r="F10" t="inlineStr"/>
      <c r="G10">
        <f>SUM(G2:G9)</f>
        <v/>
      </c>
      <c r="H10" t="inlineStr"/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3" max="3"/>
  </cols>
  <sheetData>
    <row r="1">
      <c r="A1" s="1" t="inlineStr">
        <is>
          <t>区域</t>
        </is>
      </c>
      <c r="B1" s="1" t="inlineStr">
        <is>
          <t>订单数</t>
        </is>
      </c>
      <c r="C1" s="1" t="inlineStr">
        <is>
          <t>销售额(元)</t>
        </is>
      </c>
    </row>
    <row r="2">
      <c r="A2" t="inlineStr">
        <is>
          <t>华东</t>
        </is>
      </c>
      <c r="B2">
        <f>COUNTIF(销售明细!C:C,"华东")</f>
        <v/>
      </c>
      <c r="C2">
        <f>SUMIF(销售明细!C:C,"华东",销售明细!G:G)</f>
        <v/>
      </c>
    </row>
    <row r="3">
      <c r="A3" t="inlineStr">
        <is>
          <t>华南</t>
        </is>
      </c>
      <c r="B3">
        <f>COUNTIF(销售明细!C:C,"华南")</f>
        <v/>
      </c>
      <c r="C3">
        <f>SUMIF(销售明细!C:C,"华南",销售明细!G:G)</f>
        <v/>
      </c>
    </row>
    <row r="4">
      <c r="A4" t="inlineStr">
        <is>
          <t>华北</t>
        </is>
      </c>
      <c r="B4">
        <f>COUNTIF(销售明细!C:C,"华北")</f>
        <v/>
      </c>
      <c r="C4">
        <f>SUMIF(销售明细!C:C,"华北",销售明细!G:G)</f>
        <v/>
      </c>
    </row>
    <row r="5">
      <c r="A5" t="inlineStr">
        <is>
          <t>西南</t>
        </is>
      </c>
      <c r="B5">
        <f>COUNTIF(销售明细!C:C,"西南")</f>
        <v/>
      </c>
      <c r="C5">
        <f>SUMIF(销售明细!C:C,"西南",销售明细!G:G)</f>
        <v/>
      </c>
    </row>
    <row r="6">
      <c r="A6" t="inlineStr">
        <is>
          <t>总计</t>
        </is>
      </c>
      <c r="B6">
        <f>SUM(B2:B5)</f>
        <v/>
      </c>
      <c r="C6">
        <f>SUM(C2:C5)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销售额(元)</t>
        </is>
      </c>
    </row>
    <row r="2">
      <c r="A2" t="inlineStr">
        <is>
          <t>2026-04</t>
        </is>
      </c>
      <c r="B2" t="n">
        <v>680000</v>
      </c>
    </row>
    <row r="3">
      <c r="A3" t="inlineStr">
        <is>
          <t>2026-05</t>
        </is>
      </c>
      <c r="B3" t="n">
        <v>742000</v>
      </c>
    </row>
    <row r="4">
      <c r="A4" t="inlineStr">
        <is>
          <t>2026-06</t>
        </is>
      </c>
      <c r="B4" t="n">
        <v>815000</v>
      </c>
    </row>
    <row r="5">
      <c r="A5" t="inlineStr">
        <is>
          <t>2026-07</t>
        </is>
      </c>
      <c r="B5">
        <f>SUM(销售明细!G2:G9)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2026-08-13T15:24:31Z</dcterms:created>
  <dcterms:modified xmlns:dcterms="http://purl.org/dc/terms/" xmlns:xsi="http://www.w3.org/2001/XMLSchema-instance" xsi:type="dcterms:W3CDTF">2026-08-13T15:24:31Z</dcterms:modified>
</cp:coreProperties>
</file>